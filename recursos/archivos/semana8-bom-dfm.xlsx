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BOM DFM" sheetId="2" state="visible" r:id="rId4"/>
    <sheet name="Costo unitario" sheetId="3" state="visible" r:id="rId5"/>
    <sheet name="Ensamb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<sst xmlns="http://schemas.openxmlformats.org/spreadsheetml/2006/main" count="157" uniqueCount="138">
  <si>
    <t xml:space="preserve">NERVIK — Revisión DFM (Semana 8) · Equipo 2: Andrik, Juan Pablo, Mauro</t>
  </si>
  <si>
    <t xml:space="preserve">Celdas grises = supuestos editables. Todo lo demás son fórmulas. Escenarios: ACTUAL (BOM de la Semana 7), DFM-A (mejoras sin cambiar requisitos del PDS) y DFM-B (DFM-A + cambio de módem, exige renunciar al respaldo 2G del requisito I-04).</t>
  </si>
  <si>
    <t xml:space="preserve">Supuesto</t>
  </si>
  <si>
    <t xml:space="preserve">Valor</t>
  </si>
  <si>
    <t xml:space="preserve">Unidad</t>
  </si>
  <si>
    <t xml:space="preserve">Fuente / justificación</t>
  </si>
  <si>
    <t xml:space="preserve">Tipo de cambio</t>
  </si>
  <si>
    <t xml:space="preserve">MXN/USD</t>
  </si>
  <si>
    <t xml:space="preserve">Banxico FIX 27-oct-2026 (igual que Semana 7)</t>
  </si>
  <si>
    <t xml:space="preserve">Factor de envío e importación</t>
  </si>
  <si>
    <t xml:space="preserve">% de componentes</t>
  </si>
  <si>
    <t xml:space="preserve">Supuesto de la Semana 7</t>
  </si>
  <si>
    <t xml:space="preserve">Mano de obra</t>
  </si>
  <si>
    <t xml:space="preserve">MXN/h</t>
  </si>
  <si>
    <t xml:space="preserve">Overhead sobre costo directo</t>
  </si>
  <si>
    <t xml:space="preserve">%</t>
  </si>
  <si>
    <t xml:space="preserve">Método del curso (15%)</t>
  </si>
  <si>
    <t xml:space="preserve">Contingencias sobre BOM</t>
  </si>
  <si>
    <t xml:space="preserve">Método de la Semana 7 (25%)</t>
  </si>
  <si>
    <t xml:space="preserve">Ensamble y prueba ACTUAL a 10 u</t>
  </si>
  <si>
    <t xml:space="preserve">min/u</t>
  </si>
  <si>
    <t xml:space="preserve">Semana 7 (15 piezas sin contar cinchos; ver hoja Ensamble)</t>
  </si>
  <si>
    <t xml:space="preserve">Ensamble y prueba ACTUAL a 100 u</t>
  </si>
  <si>
    <t xml:space="preserve">Semana 7 (con fixture de pogo pins)</t>
  </si>
  <si>
    <t xml:space="preserve">Ensamble y prueba DFM a 10 u</t>
  </si>
  <si>
    <t xml:space="preserve">Hoja Ensamble: 11 piezas, inserción desde arriba, sin cautín</t>
  </si>
  <si>
    <t xml:space="preserve">Ensamble y prueba DFM a 100 u</t>
  </si>
  <si>
    <t xml:space="preserve">Hoja Ensamble + fixture de pogo pins</t>
  </si>
  <si>
    <t xml:space="preserve">Límite de componentes del PDS (C-01)</t>
  </si>
  <si>
    <t xml:space="preserve">MXN a 100 u</t>
  </si>
  <si>
    <t xml:space="preserve">PDS v1.0, requisito C-01</t>
  </si>
  <si>
    <t xml:space="preserve">BOM por escenario — USD por unidad</t>
  </si>
  <si>
    <t xml:space="preserve">Precios del 30-oct-2026. Los renglones sin cambio conservan el precio de la Semana 7.</t>
  </si>
  <si>
    <t xml:space="preserve">#</t>
  </si>
  <si>
    <t xml:space="preserve">Componente</t>
  </si>
  <si>
    <t xml:space="preserve">ACTUAL a 10</t>
  </si>
  <si>
    <t xml:space="preserve">ACTUAL a 100</t>
  </si>
  <si>
    <t xml:space="preserve">DFM-A a 10</t>
  </si>
  <si>
    <t xml:space="preserve">DFM-A a 100</t>
  </si>
  <si>
    <t xml:space="preserve">DFM-B a 10</t>
  </si>
  <si>
    <t xml:space="preserve">DFM-B a 100</t>
  </si>
  <si>
    <t xml:space="preserve">Cambio DFM y razón</t>
  </si>
  <si>
    <t xml:space="preserve">Estado del precio / fuente</t>
  </si>
  <si>
    <t xml:space="preserve">Microcontrolador RP2040</t>
  </si>
  <si>
    <t xml:space="preserve">Sin cambio: estándar, parte de LCSC.</t>
  </si>
  <si>
    <t xml:space="preserve">Verificado (Semana 7)</t>
  </si>
  <si>
    <t xml:space="preserve">Flash W25Q64JV</t>
  </si>
  <si>
    <t xml:space="preserve">Sin cambio: parte Basic de JLCPCB.</t>
  </si>
  <si>
    <t xml:space="preserve">Estimado (Semana 7)</t>
  </si>
  <si>
    <t xml:space="preserve">Cristal y pasivos del MCU</t>
  </si>
  <si>
    <t xml:space="preserve">Sin cambio.</t>
  </si>
  <si>
    <t xml:space="preserve">Controlador CAN MCP2515</t>
  </si>
  <si>
    <t xml:space="preserve">Se conserva: su modo listen-only por registro refuerza el requisito I-02.</t>
  </si>
  <si>
    <t xml:space="preserve">Transceptor CAN aislado ISO1042</t>
  </si>
  <si>
    <t xml:space="preserve">Se conserva: aislamiento y protección de bus de 70 V.</t>
  </si>
  <si>
    <t xml:space="preserve">IMU LSM6DSOX</t>
  </si>
  <si>
    <t xml:space="preserve">Módem celular</t>
  </si>
  <si>
    <t xml:space="preserve">A: BG95-M3 comprado a distribuidor autorizado (DigiKey/Avnet) en lugar del estimado de US$25. B: SIMCom SIM7080G (Cat-M/NB-IoT, sin 2G), en existencia en LCSC, montable por JLCPCB.</t>
  </si>
  <si>
    <t xml:space="preserve">A: DigiKey US$19.11-19.91 vía Findchips. B: LCSC C2943992 US$10.93 a 10+ (verificado); a 100 estimado</t>
  </si>
  <si>
    <t xml:space="preserve">Receptor GNSS LC76G</t>
  </si>
  <si>
    <t xml:space="preserve">Se conserva: el GNSS del módem no opera al mismo tiempo que LTE (multiplexado en tiempo), y la detección continua de C/N0 es el diferenciador.</t>
  </si>
  <si>
    <t xml:space="preserve">Verificado (Semana 7); nota de aplicación GNSS de Quectel</t>
  </si>
  <si>
    <t xml:space="preserve">Antenas LTE y GNSS</t>
  </si>
  <si>
    <t xml:space="preserve">Sin cambio de costo; la antena GNSS pasa a montaje fijo junto al receptor.</t>
  </si>
  <si>
    <t xml:space="preserve">Etapa de potencia 60 V</t>
  </si>
  <si>
    <t xml:space="preserve">Batería LiFePO4 18650</t>
  </si>
  <si>
    <t xml:space="preserve">Celda con lengüetas y conector JST en lugar de portapilas soldado: se conecta sin cautín y se puede reemplazar.</t>
  </si>
  <si>
    <t xml:space="preserve">Cargador LiFePO4</t>
  </si>
  <si>
    <t xml:space="preserve">Interfaz local (3 LED + 2 botones)</t>
  </si>
  <si>
    <t xml:space="preserve">LED alineados bajo un solo peine de guías de luz (ver Ensamble).</t>
  </si>
  <si>
    <t xml:space="preserve">Pasivos, conectores y ESD</t>
  </si>
  <si>
    <t xml:space="preserve">Pasivos 0402/0603 de valores Basic de JLCPCB.</t>
  </si>
  <si>
    <t xml:space="preserve">Subtotal componentes (USD)</t>
  </si>
  <si>
    <t xml:space="preserve">Subtotal componentes (MXN)</t>
  </si>
  <si>
    <t xml:space="preserve">Cable J1939 Y Deutsch 9 pines (USD)</t>
  </si>
  <si>
    <t xml:space="preserve">Sin cambio: cable estándar comprado, evita arnés propio.</t>
  </si>
  <si>
    <t xml:space="preserve">SIM IoT 1NCE 10 años (USD)</t>
  </si>
  <si>
    <t xml:space="preserve">No es costo de manufactura: es conectividad prepagada del servicio. Se conserva en el costo del equipo para comparar con la Semana 7.</t>
  </si>
  <si>
    <t xml:space="preserve">Envío e importación (MXN)</t>
  </si>
  <si>
    <t xml:space="preserve">BOM total puesto en México (MXN)</t>
  </si>
  <si>
    <t xml:space="preserve">¿Cumple C-01 (componentes ≤ $650 a 100 u)?</t>
  </si>
  <si>
    <t xml:space="preserve">Peso del módem en los componentes a 100 u</t>
  </si>
  <si>
    <t xml:space="preserve">Costo unitario de manufactura por escenario (MXN)</t>
  </si>
  <si>
    <t xml:space="preserve">Concepto</t>
  </si>
  <si>
    <t xml:space="preserve">ACTUAL 10 u</t>
  </si>
  <si>
    <t xml:space="preserve">ACTUAL 100 u</t>
  </si>
  <si>
    <t xml:space="preserve">DFM-A 10 u</t>
  </si>
  <si>
    <t xml:space="preserve">DFM-A 100 u</t>
  </si>
  <si>
    <t xml:space="preserve">DFM-B 10 u</t>
  </si>
  <si>
    <t xml:space="preserve">DFM-B 100 u</t>
  </si>
  <si>
    <t xml:space="preserve">BOM total puesto en México</t>
  </si>
  <si>
    <t xml:space="preserve">PCB 4 capas + ensamble SMT (JLCPCB)</t>
  </si>
  <si>
    <t xml:space="preserve">Semana 7. En DFM-A el BG95 debe entrar como parte consignada (no está en LCSC); en DFM-B el SIM7080G se monta de catálogo.</t>
  </si>
  <si>
    <t xml:space="preserve">Envío de PCBA</t>
  </si>
  <si>
    <t xml:space="preserve">Carcasa PETG FDM, guías de luz y soporte</t>
  </si>
  <si>
    <t xml:space="preserve">Sin cambio de costo: el peine de guías de luz reemplaza 3 piezas por 1 con el mismo material.</t>
  </si>
  <si>
    <t xml:space="preserve">Ensamble y prueba</t>
  </si>
  <si>
    <t xml:space="preserve">Costo directo</t>
  </si>
  <si>
    <t xml:space="preserve">Overhead (15%)</t>
  </si>
  <si>
    <t xml:space="preserve">Contingencias (25% del BOM)</t>
  </si>
  <si>
    <t xml:space="preserve">Costo unitario del hardware</t>
  </si>
  <si>
    <t xml:space="preserve">Reducción contra ACTUAL</t>
  </si>
  <si>
    <t xml:space="preserve">Reducción porcentual</t>
  </si>
  <si>
    <t xml:space="preserve">Margen contra precio de venta de $1 800</t>
  </si>
  <si>
    <t xml:space="preserve">Piezas que se manipulan a mano en el ensamble final</t>
  </si>
  <si>
    <t xml:space="preserve">Pieza</t>
  </si>
  <si>
    <t xml:space="preserve">ACTUAL</t>
  </si>
  <si>
    <t xml:space="preserve">DFM</t>
  </si>
  <si>
    <t xml:space="preserve">Principio DFA aplicado</t>
  </si>
  <si>
    <t xml:space="preserve">Base de la cuña (PETG)</t>
  </si>
  <si>
    <t xml:space="preserve">Pieza de referencia; se apoya en la mesa sin voltear.</t>
  </si>
  <si>
    <t xml:space="preserve">Tapa (PETG)</t>
  </si>
  <si>
    <t xml:space="preserve">Entra desde arriba; 2 ganchos impresos en el plano XY.</t>
  </si>
  <si>
    <t xml:space="preserve">Tornillos autorroscantes</t>
  </si>
  <si>
    <t xml:space="preserve">Se conservan para abrir y cambiar la batería (reparabilidad).</t>
  </si>
  <si>
    <t xml:space="preserve">Guías de luz</t>
  </si>
  <si>
    <t xml:space="preserve">Peine de 3 guías en una sola pieza: se orienta solo.</t>
  </si>
  <si>
    <t xml:space="preserve">Junta de silicón IP54</t>
  </si>
  <si>
    <t xml:space="preserve">Cordón en ranura de la base; no requiere orientación.</t>
  </si>
  <si>
    <t xml:space="preserve">PCBA</t>
  </si>
  <si>
    <t xml:space="preserve">Sobre rieles, muesca asimétrica: solo entra en una posición.</t>
  </si>
  <si>
    <t xml:space="preserve">Batería 18650</t>
  </si>
  <si>
    <t xml:space="preserve">Con lengüetas y conector JST: se conecta sin cautín.</t>
  </si>
  <si>
    <t xml:space="preserve">Portapilas soldado</t>
  </si>
  <si>
    <t xml:space="preserve">Eliminado por la batería con conector.</t>
  </si>
  <si>
    <t xml:space="preserve">Antena GNSS con cable</t>
  </si>
  <si>
    <t xml:space="preserve">Antena cerámica fija junto al receptor, montada por JLCPCB.</t>
  </si>
  <si>
    <t xml:space="preserve">Antena LTE flexible</t>
  </si>
  <si>
    <t xml:space="preserve">Adhesiva en la pared interior, conector U.FL.</t>
  </si>
  <si>
    <t xml:space="preserve">Prensaestopa del cable</t>
  </si>
  <si>
    <t xml:space="preserve">Se conserva por IP54.</t>
  </si>
  <si>
    <t xml:space="preserve">Cable J1939 (lado del equipo)</t>
  </si>
  <si>
    <t xml:space="preserve">Conector con seguro y polarizado.</t>
  </si>
  <si>
    <t xml:space="preserve">Cinchos de nailon</t>
  </si>
  <si>
    <t xml:space="preserve">Los coloca el instalador, no el ensamble.</t>
  </si>
  <si>
    <t xml:space="preserve">Total de piezas</t>
  </si>
  <si>
    <t xml:space="preserve">Piezas que exigen cautín u orientación manual</t>
  </si>
  <si>
    <t xml:space="preserve">ACTUAL: portapilas, antena GNSS con cable, 3 guías sueltas. DFM: solo la antena LTE.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</si>
</sst>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%;\(0.0%\);\-"/>
    <numFmt numFmtId="167" formatCode="\$#,##0;&quot;($&quot;#,##0\);\-"/>
    <numFmt numFmtId="168" formatCode="0"/>
    <numFmt numFmtId="169" formatCode="&quot;US$&quot;#,##0.00;&quot;(US$&quot;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E7E6E6"/>
        <bgColor rgb="FFD0CE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8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18.65</v>
      </c>
      <c r="C5" s="4" t="s">
        <v>7</v>
      </c>
      <c r="D5" s="6" t="s">
        <v>8</v>
      </c>
    </row>
    <row r="6" customFormat="false" ht="15" hidden="false" customHeight="false" outlineLevel="0" collapsed="false">
      <c r="A6" s="4" t="s">
        <v>9</v>
      </c>
      <c r="B6" s="7" t="n">
        <v>0.2</v>
      </c>
      <c r="C6" s="4" t="s">
        <v>10</v>
      </c>
      <c r="D6" s="6" t="s">
        <v>11</v>
      </c>
    </row>
    <row r="7" customFormat="false" ht="15" hidden="false" customHeight="false" outlineLevel="0" collapsed="false">
      <c r="A7" s="4" t="s">
        <v>12</v>
      </c>
      <c r="B7" s="8" t="n">
        <v>120</v>
      </c>
      <c r="C7" s="4" t="s">
        <v>13</v>
      </c>
      <c r="D7" s="6" t="s">
        <v>11</v>
      </c>
    </row>
    <row r="8" customFormat="false" ht="15" hidden="false" customHeight="false" outlineLevel="0" collapsed="false">
      <c r="A8" s="4" t="s">
        <v>14</v>
      </c>
      <c r="B8" s="7" t="n">
        <v>0.15</v>
      </c>
      <c r="C8" s="4" t="s">
        <v>15</v>
      </c>
      <c r="D8" s="6" t="s">
        <v>16</v>
      </c>
    </row>
    <row r="9" customFormat="false" ht="15" hidden="false" customHeight="false" outlineLevel="0" collapsed="false">
      <c r="A9" s="4" t="s">
        <v>17</v>
      </c>
      <c r="B9" s="7" t="n">
        <v>0.25</v>
      </c>
      <c r="C9" s="4" t="s">
        <v>15</v>
      </c>
      <c r="D9" s="6" t="s">
        <v>18</v>
      </c>
    </row>
    <row r="10" customFormat="false" ht="15" hidden="false" customHeight="false" outlineLevel="0" collapsed="false">
      <c r="A10" s="4" t="s">
        <v>19</v>
      </c>
      <c r="B10" s="9" t="n">
        <v>25</v>
      </c>
      <c r="C10" s="4" t="s">
        <v>20</v>
      </c>
      <c r="D10" s="6" t="s">
        <v>21</v>
      </c>
    </row>
    <row r="11" customFormat="false" ht="15" hidden="false" customHeight="false" outlineLevel="0" collapsed="false">
      <c r="A11" s="4" t="s">
        <v>22</v>
      </c>
      <c r="B11" s="9" t="n">
        <v>15</v>
      </c>
      <c r="C11" s="4" t="s">
        <v>20</v>
      </c>
      <c r="D11" s="6" t="s">
        <v>23</v>
      </c>
    </row>
    <row r="12" customFormat="false" ht="15" hidden="false" customHeight="false" outlineLevel="0" collapsed="false">
      <c r="A12" s="4" t="s">
        <v>24</v>
      </c>
      <c r="B12" s="9" t="n">
        <v>15</v>
      </c>
      <c r="C12" s="4" t="s">
        <v>20</v>
      </c>
      <c r="D12" s="6" t="s">
        <v>25</v>
      </c>
    </row>
    <row r="13" customFormat="false" ht="15" hidden="false" customHeight="false" outlineLevel="0" collapsed="false">
      <c r="A13" s="4" t="s">
        <v>26</v>
      </c>
      <c r="B13" s="9" t="n">
        <v>10</v>
      </c>
      <c r="C13" s="4" t="s">
        <v>20</v>
      </c>
      <c r="D13" s="6" t="s">
        <v>27</v>
      </c>
    </row>
    <row r="14" customFormat="false" ht="15" hidden="false" customHeight="false" outlineLevel="0" collapsed="false">
      <c r="A14" s="4" t="s">
        <v>28</v>
      </c>
      <c r="B14" s="8" t="n">
        <v>650</v>
      </c>
      <c r="C14" s="4" t="s">
        <v>29</v>
      </c>
      <c r="D14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8" min="3" style="0" width="11"/>
    <col collapsed="false" customWidth="true" hidden="false" outlineLevel="0" max="9" min="9" style="0" width="60"/>
    <col collapsed="false" customWidth="true" hidden="false" outlineLevel="0" max="10" min="10" style="0" width="42"/>
  </cols>
  <sheetData>
    <row r="1" customFormat="false" ht="16.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23.85" hidden="false" customHeight="fals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</row>
    <row r="5" customFormat="false" ht="15" hidden="false" customHeight="false" outlineLevel="0" collapsed="false">
      <c r="A5" s="10" t="n">
        <v>1</v>
      </c>
      <c r="B5" s="10" t="s">
        <v>43</v>
      </c>
      <c r="C5" s="11" t="n">
        <v>0.993</v>
      </c>
      <c r="D5" s="11" t="n">
        <v>0.7609</v>
      </c>
      <c r="E5" s="11" t="n">
        <v>0.993</v>
      </c>
      <c r="F5" s="11" t="n">
        <v>0.7609</v>
      </c>
      <c r="G5" s="11" t="n">
        <v>0.993</v>
      </c>
      <c r="H5" s="11" t="n">
        <v>0.7609</v>
      </c>
      <c r="I5" s="12" t="s">
        <v>44</v>
      </c>
      <c r="J5" s="12" t="s">
        <v>45</v>
      </c>
    </row>
    <row r="6" customFormat="false" ht="15" hidden="false" customHeight="false" outlineLevel="0" collapsed="false">
      <c r="A6" s="10" t="n">
        <v>2</v>
      </c>
      <c r="B6" s="10" t="s">
        <v>46</v>
      </c>
      <c r="C6" s="11" t="n">
        <v>0.45</v>
      </c>
      <c r="D6" s="11" t="n">
        <v>0.38</v>
      </c>
      <c r="E6" s="11" t="n">
        <v>0.45</v>
      </c>
      <c r="F6" s="11" t="n">
        <v>0.38</v>
      </c>
      <c r="G6" s="11" t="n">
        <v>0.45</v>
      </c>
      <c r="H6" s="11" t="n">
        <v>0.38</v>
      </c>
      <c r="I6" s="12" t="s">
        <v>47</v>
      </c>
      <c r="J6" s="12" t="s">
        <v>48</v>
      </c>
    </row>
    <row r="7" customFormat="false" ht="15" hidden="false" customHeight="false" outlineLevel="0" collapsed="false">
      <c r="A7" s="10" t="n">
        <v>3</v>
      </c>
      <c r="B7" s="10" t="s">
        <v>49</v>
      </c>
      <c r="C7" s="11" t="n">
        <v>0.35</v>
      </c>
      <c r="D7" s="11" t="n">
        <v>0.3</v>
      </c>
      <c r="E7" s="11" t="n">
        <v>0.35</v>
      </c>
      <c r="F7" s="11" t="n">
        <v>0.3</v>
      </c>
      <c r="G7" s="11" t="n">
        <v>0.35</v>
      </c>
      <c r="H7" s="11" t="n">
        <v>0.3</v>
      </c>
      <c r="I7" s="12" t="s">
        <v>50</v>
      </c>
      <c r="J7" s="12" t="s">
        <v>48</v>
      </c>
    </row>
    <row r="8" customFormat="false" ht="15" hidden="false" customHeight="false" outlineLevel="0" collapsed="false">
      <c r="A8" s="10" t="n">
        <v>4</v>
      </c>
      <c r="B8" s="10" t="s">
        <v>51</v>
      </c>
      <c r="C8" s="11" t="n">
        <v>1.3604</v>
      </c>
      <c r="D8" s="11" t="n">
        <v>1.0467</v>
      </c>
      <c r="E8" s="11" t="n">
        <v>1.3604</v>
      </c>
      <c r="F8" s="11" t="n">
        <v>1.0467</v>
      </c>
      <c r="G8" s="11" t="n">
        <v>1.3604</v>
      </c>
      <c r="H8" s="11" t="n">
        <v>1.0467</v>
      </c>
      <c r="I8" s="12" t="s">
        <v>52</v>
      </c>
      <c r="J8" s="12" t="s">
        <v>45</v>
      </c>
    </row>
    <row r="9" customFormat="false" ht="15" hidden="false" customHeight="false" outlineLevel="0" collapsed="false">
      <c r="A9" s="10" t="n">
        <v>5</v>
      </c>
      <c r="B9" s="10" t="s">
        <v>53</v>
      </c>
      <c r="C9" s="11" t="n">
        <v>2.0941</v>
      </c>
      <c r="D9" s="11" t="n">
        <v>1.5976</v>
      </c>
      <c r="E9" s="11" t="n">
        <v>2.0941</v>
      </c>
      <c r="F9" s="11" t="n">
        <v>1.5976</v>
      </c>
      <c r="G9" s="11" t="n">
        <v>2.0941</v>
      </c>
      <c r="H9" s="11" t="n">
        <v>1.5976</v>
      </c>
      <c r="I9" s="12" t="s">
        <v>54</v>
      </c>
      <c r="J9" s="12" t="s">
        <v>45</v>
      </c>
    </row>
    <row r="10" customFormat="false" ht="15" hidden="false" customHeight="false" outlineLevel="0" collapsed="false">
      <c r="A10" s="10" t="n">
        <v>6</v>
      </c>
      <c r="B10" s="10" t="s">
        <v>55</v>
      </c>
      <c r="C10" s="11" t="n">
        <v>1.8766</v>
      </c>
      <c r="D10" s="11" t="n">
        <v>1.6557</v>
      </c>
      <c r="E10" s="11" t="n">
        <v>1.8766</v>
      </c>
      <c r="F10" s="11" t="n">
        <v>1.6557</v>
      </c>
      <c r="G10" s="11" t="n">
        <v>1.8766</v>
      </c>
      <c r="H10" s="11" t="n">
        <v>1.6557</v>
      </c>
      <c r="I10" s="12" t="s">
        <v>50</v>
      </c>
      <c r="J10" s="12" t="s">
        <v>45</v>
      </c>
    </row>
    <row r="11" customFormat="false" ht="35.05" hidden="false" customHeight="false" outlineLevel="0" collapsed="false">
      <c r="A11" s="10" t="n">
        <v>7</v>
      </c>
      <c r="B11" s="10" t="s">
        <v>56</v>
      </c>
      <c r="C11" s="11" t="n">
        <v>25</v>
      </c>
      <c r="D11" s="11" t="n">
        <v>19.91</v>
      </c>
      <c r="E11" s="11" t="n">
        <v>19.91</v>
      </c>
      <c r="F11" s="11" t="n">
        <v>19.11</v>
      </c>
      <c r="G11" s="11" t="n">
        <v>10.93</v>
      </c>
      <c r="H11" s="11" t="n">
        <v>10.5</v>
      </c>
      <c r="I11" s="12" t="s">
        <v>57</v>
      </c>
      <c r="J11" s="12" t="s">
        <v>58</v>
      </c>
    </row>
    <row r="12" customFormat="false" ht="35.05" hidden="false" customHeight="false" outlineLevel="0" collapsed="false">
      <c r="A12" s="10" t="n">
        <v>8</v>
      </c>
      <c r="B12" s="10" t="s">
        <v>59</v>
      </c>
      <c r="C12" s="11" t="n">
        <v>6.29</v>
      </c>
      <c r="D12" s="11" t="n">
        <v>5.48</v>
      </c>
      <c r="E12" s="11" t="n">
        <v>6.29</v>
      </c>
      <c r="F12" s="11" t="n">
        <v>5.48</v>
      </c>
      <c r="G12" s="11" t="n">
        <v>6.29</v>
      </c>
      <c r="H12" s="11" t="n">
        <v>5.48</v>
      </c>
      <c r="I12" s="12" t="s">
        <v>60</v>
      </c>
      <c r="J12" s="12" t="s">
        <v>61</v>
      </c>
    </row>
    <row r="13" customFormat="false" ht="23.85" hidden="false" customHeight="false" outlineLevel="0" collapsed="false">
      <c r="A13" s="10" t="n">
        <v>9</v>
      </c>
      <c r="B13" s="10" t="s">
        <v>62</v>
      </c>
      <c r="C13" s="11" t="n">
        <v>4</v>
      </c>
      <c r="D13" s="11" t="n">
        <v>3</v>
      </c>
      <c r="E13" s="11" t="n">
        <v>4</v>
      </c>
      <c r="F13" s="11" t="n">
        <v>3</v>
      </c>
      <c r="G13" s="11" t="n">
        <v>4</v>
      </c>
      <c r="H13" s="11" t="n">
        <v>3</v>
      </c>
      <c r="I13" s="12" t="s">
        <v>63</v>
      </c>
      <c r="J13" s="12" t="s">
        <v>48</v>
      </c>
    </row>
    <row r="14" customFormat="false" ht="15" hidden="false" customHeight="false" outlineLevel="0" collapsed="false">
      <c r="A14" s="10" t="n">
        <v>10</v>
      </c>
      <c r="B14" s="10" t="s">
        <v>64</v>
      </c>
      <c r="C14" s="11" t="n">
        <v>2.2</v>
      </c>
      <c r="D14" s="11" t="n">
        <v>1.6</v>
      </c>
      <c r="E14" s="11" t="n">
        <v>2.2</v>
      </c>
      <c r="F14" s="11" t="n">
        <v>1.6</v>
      </c>
      <c r="G14" s="11" t="n">
        <v>2.2</v>
      </c>
      <c r="H14" s="11" t="n">
        <v>1.6</v>
      </c>
      <c r="I14" s="12" t="s">
        <v>50</v>
      </c>
      <c r="J14" s="12" t="s">
        <v>48</v>
      </c>
    </row>
    <row r="15" customFormat="false" ht="23.85" hidden="false" customHeight="false" outlineLevel="0" collapsed="false">
      <c r="A15" s="10" t="n">
        <v>11</v>
      </c>
      <c r="B15" s="10" t="s">
        <v>65</v>
      </c>
      <c r="C15" s="11" t="n">
        <v>4</v>
      </c>
      <c r="D15" s="11" t="n">
        <v>2.5</v>
      </c>
      <c r="E15" s="11" t="n">
        <v>4</v>
      </c>
      <c r="F15" s="11" t="n">
        <v>2.5</v>
      </c>
      <c r="G15" s="11" t="n">
        <v>4</v>
      </c>
      <c r="H15" s="11" t="n">
        <v>2.5</v>
      </c>
      <c r="I15" s="12" t="s">
        <v>66</v>
      </c>
      <c r="J15" s="12" t="s">
        <v>48</v>
      </c>
    </row>
    <row r="16" customFormat="false" ht="15" hidden="false" customHeight="false" outlineLevel="0" collapsed="false">
      <c r="A16" s="10" t="n">
        <v>12</v>
      </c>
      <c r="B16" s="10" t="s">
        <v>67</v>
      </c>
      <c r="C16" s="11" t="n">
        <v>0.4</v>
      </c>
      <c r="D16" s="11" t="n">
        <v>0.3</v>
      </c>
      <c r="E16" s="11" t="n">
        <v>0.4</v>
      </c>
      <c r="F16" s="11" t="n">
        <v>0.3</v>
      </c>
      <c r="G16" s="11" t="n">
        <v>0.4</v>
      </c>
      <c r="H16" s="11" t="n">
        <v>0.3</v>
      </c>
      <c r="I16" s="12" t="s">
        <v>50</v>
      </c>
      <c r="J16" s="12" t="s">
        <v>48</v>
      </c>
    </row>
    <row r="17" customFormat="false" ht="15" hidden="false" customHeight="false" outlineLevel="0" collapsed="false">
      <c r="A17" s="10" t="n">
        <v>13</v>
      </c>
      <c r="B17" s="10" t="s">
        <v>68</v>
      </c>
      <c r="C17" s="11" t="n">
        <v>0.6</v>
      </c>
      <c r="D17" s="11" t="n">
        <v>0.4</v>
      </c>
      <c r="E17" s="11" t="n">
        <v>0.6</v>
      </c>
      <c r="F17" s="11" t="n">
        <v>0.4</v>
      </c>
      <c r="G17" s="11" t="n">
        <v>0.6</v>
      </c>
      <c r="H17" s="11" t="n">
        <v>0.4</v>
      </c>
      <c r="I17" s="12" t="s">
        <v>69</v>
      </c>
      <c r="J17" s="12" t="s">
        <v>48</v>
      </c>
    </row>
    <row r="18" customFormat="false" ht="15" hidden="false" customHeight="false" outlineLevel="0" collapsed="false">
      <c r="A18" s="10" t="n">
        <v>14</v>
      </c>
      <c r="B18" s="10" t="s">
        <v>70</v>
      </c>
      <c r="C18" s="11" t="n">
        <v>2</v>
      </c>
      <c r="D18" s="11" t="n">
        <v>1.5</v>
      </c>
      <c r="E18" s="11" t="n">
        <v>2</v>
      </c>
      <c r="F18" s="11" t="n">
        <v>1.5</v>
      </c>
      <c r="G18" s="11" t="n">
        <v>2</v>
      </c>
      <c r="H18" s="11" t="n">
        <v>1.5</v>
      </c>
      <c r="I18" s="12" t="s">
        <v>71</v>
      </c>
      <c r="J18" s="12" t="s">
        <v>48</v>
      </c>
    </row>
    <row r="19" customFormat="false" ht="15" hidden="false" customHeight="false" outlineLevel="0" collapsed="false">
      <c r="A19" s="13"/>
      <c r="B19" s="14" t="s">
        <v>72</v>
      </c>
      <c r="C19" s="15" t="n">
        <f aca="false">SUM(C5:C18)</f>
        <v>51.6141</v>
      </c>
      <c r="D19" s="15" t="n">
        <f aca="false">SUM(D5:D18)</f>
        <v>40.4309</v>
      </c>
      <c r="E19" s="15" t="n">
        <f aca="false">SUM(E5:E18)</f>
        <v>46.5241</v>
      </c>
      <c r="F19" s="15" t="n">
        <f aca="false">SUM(F5:F18)</f>
        <v>39.6309</v>
      </c>
      <c r="G19" s="15" t="n">
        <f aca="false">SUM(G5:G18)</f>
        <v>37.5441</v>
      </c>
      <c r="H19" s="15" t="n">
        <f aca="false">SUM(H5:H18)</f>
        <v>31.0209</v>
      </c>
      <c r="I19" s="13"/>
      <c r="J19" s="13"/>
    </row>
    <row r="20" customFormat="false" ht="15" hidden="false" customHeight="false" outlineLevel="0" collapsed="false">
      <c r="A20" s="13"/>
      <c r="B20" s="14" t="s">
        <v>73</v>
      </c>
      <c r="C20" s="16" t="n">
        <f aca="false">C19*Supuestos!$B$5</f>
        <v>962.602965</v>
      </c>
      <c r="D20" s="16" t="n">
        <f aca="false">D19*Supuestos!$B$5</f>
        <v>754.036285</v>
      </c>
      <c r="E20" s="16" t="n">
        <f aca="false">E19*Supuestos!$B$5</f>
        <v>867.674465</v>
      </c>
      <c r="F20" s="16" t="n">
        <f aca="false">F19*Supuestos!$B$5</f>
        <v>739.116285</v>
      </c>
      <c r="G20" s="16" t="n">
        <f aca="false">G19*Supuestos!$B$5</f>
        <v>700.197465</v>
      </c>
      <c r="H20" s="16" t="n">
        <f aca="false">H19*Supuestos!$B$5</f>
        <v>578.539785</v>
      </c>
      <c r="I20" s="13"/>
      <c r="J20" s="13"/>
    </row>
    <row r="21" customFormat="false" ht="15" hidden="false" customHeight="false" outlineLevel="0" collapsed="false">
      <c r="A21" s="13"/>
      <c r="B21" s="10" t="s">
        <v>74</v>
      </c>
      <c r="C21" s="11" t="n">
        <v>8</v>
      </c>
      <c r="D21" s="11" t="n">
        <v>7.68</v>
      </c>
      <c r="E21" s="11" t="n">
        <v>8</v>
      </c>
      <c r="F21" s="11" t="n">
        <v>7.68</v>
      </c>
      <c r="G21" s="11" t="n">
        <v>8</v>
      </c>
      <c r="H21" s="11" t="n">
        <v>7.68</v>
      </c>
      <c r="I21" s="10" t="s">
        <v>75</v>
      </c>
      <c r="J21" s="13"/>
    </row>
    <row r="22" customFormat="false" ht="23.85" hidden="false" customHeight="false" outlineLevel="0" collapsed="false">
      <c r="A22" s="13"/>
      <c r="B22" s="10" t="s">
        <v>76</v>
      </c>
      <c r="C22" s="11" t="n">
        <v>16</v>
      </c>
      <c r="D22" s="11" t="n">
        <v>16</v>
      </c>
      <c r="E22" s="11" t="n">
        <v>16</v>
      </c>
      <c r="F22" s="11" t="n">
        <v>16</v>
      </c>
      <c r="G22" s="11" t="n">
        <v>16</v>
      </c>
      <c r="H22" s="11" t="n">
        <v>16</v>
      </c>
      <c r="I22" s="12" t="s">
        <v>77</v>
      </c>
      <c r="J22" s="13"/>
    </row>
    <row r="23" customFormat="false" ht="15" hidden="false" customHeight="false" outlineLevel="0" collapsed="false">
      <c r="A23" s="13"/>
      <c r="B23" s="10" t="s">
        <v>78</v>
      </c>
      <c r="C23" s="17" t="n">
        <f aca="false">(C20+C21*Supuestos!$B$5)*Supuestos!$B$6</f>
        <v>222.360593</v>
      </c>
      <c r="D23" s="17" t="n">
        <f aca="false">(D20+D21*Supuestos!$B$5)*Supuestos!$B$6</f>
        <v>179.453657</v>
      </c>
      <c r="E23" s="17" t="n">
        <f aca="false">(E20+E21*Supuestos!$B$5)*Supuestos!$B$6</f>
        <v>203.374893</v>
      </c>
      <c r="F23" s="17" t="n">
        <f aca="false">(F20+F21*Supuestos!$B$5)*Supuestos!$B$6</f>
        <v>176.469657</v>
      </c>
      <c r="G23" s="17" t="n">
        <f aca="false">(G20+G21*Supuestos!$B$5)*Supuestos!$B$6</f>
        <v>169.879493</v>
      </c>
      <c r="H23" s="17" t="n">
        <f aca="false">(H20+H21*Supuestos!$B$5)*Supuestos!$B$6</f>
        <v>144.354357</v>
      </c>
      <c r="I23" s="13"/>
      <c r="J23" s="13"/>
    </row>
    <row r="24" customFormat="false" ht="15" hidden="false" customHeight="false" outlineLevel="0" collapsed="false">
      <c r="A24" s="13"/>
      <c r="B24" s="14" t="s">
        <v>79</v>
      </c>
      <c r="C24" s="16" t="n">
        <f aca="false">C20+(C21+C22)*Supuestos!$B$5+C23</f>
        <v>1632.563558</v>
      </c>
      <c r="D24" s="16" t="n">
        <f aca="false">D20+(D21+D22)*Supuestos!$B$5+D23</f>
        <v>1375.121942</v>
      </c>
      <c r="E24" s="16" t="n">
        <f aca="false">E20+(E21+E22)*Supuestos!$B$5+E23</f>
        <v>1518.649358</v>
      </c>
      <c r="F24" s="16" t="n">
        <f aca="false">F20+(F21+F22)*Supuestos!$B$5+F23</f>
        <v>1357.217942</v>
      </c>
      <c r="G24" s="16" t="n">
        <f aca="false">G20+(G21+G22)*Supuestos!$B$5+G23</f>
        <v>1317.676958</v>
      </c>
      <c r="H24" s="16" t="n">
        <f aca="false">H20+(H21+H22)*Supuestos!$B$5+H23</f>
        <v>1164.526142</v>
      </c>
      <c r="I24" s="13"/>
      <c r="J24" s="13"/>
    </row>
    <row r="25" customFormat="false" ht="15" hidden="false" customHeight="false" outlineLevel="0" collapsed="false">
      <c r="A25" s="13"/>
      <c r="B25" s="14" t="s">
        <v>80</v>
      </c>
      <c r="C25" s="13"/>
      <c r="D25" s="14" t="str">
        <f aca="false">IF(D20&lt;=Supuestos!$B$14,"Sí (sobran "&amp;TEXT(Supuestos!$B$14-D20,"$#,##0")&amp;")","No (excede "&amp;TEXT(D20-Supuestos!$B$14,"$#,##0")&amp;")")</f>
        <v>No (excede $104)</v>
      </c>
      <c r="E25" s="13"/>
      <c r="F25" s="14" t="str">
        <f aca="false">IF(F20&lt;=Supuestos!$B$14,"Sí (sobran "&amp;TEXT(Supuestos!$B$14-F20,"$#,##0")&amp;")","No (excede "&amp;TEXT(F20-Supuestos!$B$14,"$#,##0")&amp;")")</f>
        <v>No (excede $89)</v>
      </c>
      <c r="G25" s="13"/>
      <c r="H25" s="14" t="str">
        <f aca="false">IF(H20&lt;=Supuestos!$B$14,"Sí (sobran "&amp;TEXT(Supuestos!$B$14-H20,"$#,##0")&amp;")","No (excede "&amp;TEXT(H20-Supuestos!$B$14,"$#,##0")&amp;")")</f>
        <v>Sí (sobran $71)</v>
      </c>
      <c r="I25" s="13"/>
      <c r="J25" s="13"/>
    </row>
    <row r="26" customFormat="false" ht="15" hidden="false" customHeight="false" outlineLevel="0" collapsed="false">
      <c r="A26" s="13"/>
      <c r="B26" s="10" t="s">
        <v>81</v>
      </c>
      <c r="C26" s="13"/>
      <c r="D26" s="18" t="n">
        <f aca="false">D11/D19</f>
        <v>0.492445134785523</v>
      </c>
      <c r="E26" s="13"/>
      <c r="F26" s="18" t="n">
        <f aca="false">F11/F19</f>
        <v>0.482199495847937</v>
      </c>
      <c r="G26" s="13"/>
      <c r="H26" s="18" t="n">
        <f aca="false">H11/H19</f>
        <v>0.338481475392397</v>
      </c>
      <c r="I26" s="13"/>
      <c r="J26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3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1" t="s">
        <v>82</v>
      </c>
    </row>
    <row r="3" customFormat="false" ht="23.85" hidden="false" customHeight="false" outlineLevel="0" collapsed="false">
      <c r="A3" s="3" t="s">
        <v>83</v>
      </c>
      <c r="B3" s="3" t="s">
        <v>84</v>
      </c>
      <c r="C3" s="3" t="s">
        <v>85</v>
      </c>
      <c r="D3" s="3" t="s">
        <v>86</v>
      </c>
      <c r="E3" s="3" t="s">
        <v>87</v>
      </c>
      <c r="F3" s="3" t="s">
        <v>88</v>
      </c>
      <c r="G3" s="3" t="s">
        <v>89</v>
      </c>
      <c r="H3" s="3" t="s">
        <v>2</v>
      </c>
    </row>
    <row r="4" customFormat="false" ht="15" hidden="false" customHeight="false" outlineLevel="0" collapsed="false">
      <c r="A4" s="10" t="s">
        <v>90</v>
      </c>
      <c r="B4" s="17" t="n">
        <f aca="false">'BOM DFM'!C24</f>
        <v>1632.563558</v>
      </c>
      <c r="C4" s="17" t="n">
        <f aca="false">'BOM DFM'!D24</f>
        <v>1375.121942</v>
      </c>
      <c r="D4" s="17" t="n">
        <f aca="false">'BOM DFM'!E24</f>
        <v>1518.649358</v>
      </c>
      <c r="E4" s="17" t="n">
        <f aca="false">'BOM DFM'!F24</f>
        <v>1357.217942</v>
      </c>
      <c r="F4" s="17" t="n">
        <f aca="false">'BOM DFM'!G24</f>
        <v>1317.676958</v>
      </c>
      <c r="G4" s="17" t="n">
        <f aca="false">'BOM DFM'!H24</f>
        <v>1164.526142</v>
      </c>
      <c r="H4" s="13"/>
    </row>
    <row r="5" customFormat="false" ht="23.85" hidden="false" customHeight="false" outlineLevel="0" collapsed="false">
      <c r="A5" s="10" t="s">
        <v>91</v>
      </c>
      <c r="B5" s="19" t="n">
        <v>170</v>
      </c>
      <c r="C5" s="19" t="n">
        <v>65</v>
      </c>
      <c r="D5" s="19" t="n">
        <v>170</v>
      </c>
      <c r="E5" s="19" t="n">
        <v>65</v>
      </c>
      <c r="F5" s="19" t="n">
        <v>170</v>
      </c>
      <c r="G5" s="19" t="n">
        <v>65</v>
      </c>
      <c r="H5" s="12" t="s">
        <v>92</v>
      </c>
    </row>
    <row r="6" customFormat="false" ht="15" hidden="false" customHeight="false" outlineLevel="0" collapsed="false">
      <c r="A6" s="10" t="s">
        <v>93</v>
      </c>
      <c r="B6" s="19" t="n">
        <v>47</v>
      </c>
      <c r="C6" s="19" t="n">
        <v>8</v>
      </c>
      <c r="D6" s="19" t="n">
        <v>47</v>
      </c>
      <c r="E6" s="19" t="n">
        <v>8</v>
      </c>
      <c r="F6" s="19" t="n">
        <v>47</v>
      </c>
      <c r="G6" s="19" t="n">
        <v>8</v>
      </c>
      <c r="H6" s="13"/>
    </row>
    <row r="7" customFormat="false" ht="23.85" hidden="false" customHeight="false" outlineLevel="0" collapsed="false">
      <c r="A7" s="10" t="s">
        <v>94</v>
      </c>
      <c r="B7" s="19" t="n">
        <v>60</v>
      </c>
      <c r="C7" s="19" t="n">
        <v>45</v>
      </c>
      <c r="D7" s="19" t="n">
        <v>60</v>
      </c>
      <c r="E7" s="19" t="n">
        <v>45</v>
      </c>
      <c r="F7" s="19" t="n">
        <v>60</v>
      </c>
      <c r="G7" s="19" t="n">
        <v>45</v>
      </c>
      <c r="H7" s="12" t="s">
        <v>95</v>
      </c>
    </row>
    <row r="8" customFormat="false" ht="15" hidden="false" customHeight="false" outlineLevel="0" collapsed="false">
      <c r="A8" s="10" t="s">
        <v>96</v>
      </c>
      <c r="B8" s="17" t="n">
        <f aca="false">Supuestos!$B$10/60*Supuestos!$B$7</f>
        <v>50</v>
      </c>
      <c r="C8" s="17" t="n">
        <f aca="false">Supuestos!$B$11/60*Supuestos!$B$7</f>
        <v>30</v>
      </c>
      <c r="D8" s="17" t="n">
        <f aca="false">Supuestos!$B$12/60*Supuestos!$B$7</f>
        <v>30</v>
      </c>
      <c r="E8" s="17" t="n">
        <f aca="false">Supuestos!$B$13/60*Supuestos!$B$7</f>
        <v>20</v>
      </c>
      <c r="F8" s="17" t="n">
        <f aca="false">Supuestos!$B$12/60*Supuestos!$B$7</f>
        <v>30</v>
      </c>
      <c r="G8" s="17" t="n">
        <f aca="false">Supuestos!$B$13/60*Supuestos!$B$7</f>
        <v>20</v>
      </c>
      <c r="H8" s="13"/>
    </row>
    <row r="9" customFormat="false" ht="15" hidden="false" customHeight="false" outlineLevel="0" collapsed="false">
      <c r="A9" s="14" t="s">
        <v>97</v>
      </c>
      <c r="B9" s="16" t="n">
        <f aca="false">SUM(B4:B8)</f>
        <v>1959.563558</v>
      </c>
      <c r="C9" s="16" t="n">
        <f aca="false">SUM(C4:C8)</f>
        <v>1523.121942</v>
      </c>
      <c r="D9" s="16" t="n">
        <f aca="false">SUM(D4:D8)</f>
        <v>1825.649358</v>
      </c>
      <c r="E9" s="16" t="n">
        <f aca="false">SUM(E4:E8)</f>
        <v>1495.217942</v>
      </c>
      <c r="F9" s="16" t="n">
        <f aca="false">SUM(F4:F8)</f>
        <v>1624.676958</v>
      </c>
      <c r="G9" s="16" t="n">
        <f aca="false">SUM(G4:G8)</f>
        <v>1302.526142</v>
      </c>
      <c r="H9" s="13"/>
    </row>
    <row r="10" customFormat="false" ht="15" hidden="false" customHeight="false" outlineLevel="0" collapsed="false">
      <c r="A10" s="10" t="s">
        <v>98</v>
      </c>
      <c r="B10" s="17" t="n">
        <f aca="false">B9*Supuestos!$B$8</f>
        <v>293.9345337</v>
      </c>
      <c r="C10" s="17" t="n">
        <f aca="false">C9*Supuestos!$B$8</f>
        <v>228.4682913</v>
      </c>
      <c r="D10" s="17" t="n">
        <f aca="false">D9*Supuestos!$B$8</f>
        <v>273.8474037</v>
      </c>
      <c r="E10" s="17" t="n">
        <f aca="false">E9*Supuestos!$B$8</f>
        <v>224.2826913</v>
      </c>
      <c r="F10" s="17" t="n">
        <f aca="false">F9*Supuestos!$B$8</f>
        <v>243.7015437</v>
      </c>
      <c r="G10" s="17" t="n">
        <f aca="false">G9*Supuestos!$B$8</f>
        <v>195.3789213</v>
      </c>
      <c r="H10" s="13"/>
    </row>
    <row r="11" customFormat="false" ht="15" hidden="false" customHeight="false" outlineLevel="0" collapsed="false">
      <c r="A11" s="10" t="s">
        <v>99</v>
      </c>
      <c r="B11" s="17" t="n">
        <f aca="false">B4*Supuestos!$B$9</f>
        <v>408.1408895</v>
      </c>
      <c r="C11" s="17" t="n">
        <f aca="false">C4*Supuestos!$B$9</f>
        <v>343.7804855</v>
      </c>
      <c r="D11" s="17" t="n">
        <f aca="false">D4*Supuestos!$B$9</f>
        <v>379.6623395</v>
      </c>
      <c r="E11" s="17" t="n">
        <f aca="false">E4*Supuestos!$B$9</f>
        <v>339.3044855</v>
      </c>
      <c r="F11" s="17" t="n">
        <f aca="false">F4*Supuestos!$B$9</f>
        <v>329.4192395</v>
      </c>
      <c r="G11" s="17" t="n">
        <f aca="false">G4*Supuestos!$B$9</f>
        <v>291.1315355</v>
      </c>
      <c r="H11" s="13"/>
    </row>
    <row r="12" customFormat="false" ht="15" hidden="false" customHeight="false" outlineLevel="0" collapsed="false">
      <c r="A12" s="14" t="s">
        <v>100</v>
      </c>
      <c r="B12" s="16" t="n">
        <f aca="false">B9+B10+B11</f>
        <v>2661.6389812</v>
      </c>
      <c r="C12" s="16" t="n">
        <f aca="false">C9+C10+C11</f>
        <v>2095.3707188</v>
      </c>
      <c r="D12" s="16" t="n">
        <f aca="false">D9+D10+D11</f>
        <v>2479.1591012</v>
      </c>
      <c r="E12" s="16" t="n">
        <f aca="false">E9+E10+E11</f>
        <v>2058.8051188</v>
      </c>
      <c r="F12" s="16" t="n">
        <f aca="false">F9+F10+F11</f>
        <v>2197.7977412</v>
      </c>
      <c r="G12" s="16" t="n">
        <f aca="false">G9+G10+G11</f>
        <v>1789.0365988</v>
      </c>
      <c r="H12" s="13"/>
    </row>
    <row r="13" customFormat="false" ht="15" hidden="false" customHeight="false" outlineLevel="0" collapsed="false">
      <c r="A13" s="14" t="s">
        <v>101</v>
      </c>
      <c r="B13" s="16" t="n">
        <f aca="false">B12-B12</f>
        <v>0</v>
      </c>
      <c r="C13" s="16" t="n">
        <f aca="false">C12-C12</f>
        <v>0</v>
      </c>
      <c r="D13" s="16" t="n">
        <f aca="false">B12-D12</f>
        <v>182.47988</v>
      </c>
      <c r="E13" s="16" t="n">
        <f aca="false">C12-E12</f>
        <v>36.5656000000004</v>
      </c>
      <c r="F13" s="16" t="n">
        <f aca="false">B12-F12</f>
        <v>463.84124</v>
      </c>
      <c r="G13" s="16" t="n">
        <f aca="false">C12-G12</f>
        <v>306.33412</v>
      </c>
      <c r="H13" s="13"/>
    </row>
    <row r="14" customFormat="false" ht="15" hidden="false" customHeight="false" outlineLevel="0" collapsed="false">
      <c r="A14" s="14" t="s">
        <v>102</v>
      </c>
      <c r="B14" s="20" t="n">
        <f aca="false">IF(B12=0,0,B13/B12)</f>
        <v>0</v>
      </c>
      <c r="C14" s="20" t="n">
        <f aca="false">IF(C12=0,0,C13/C12)</f>
        <v>0</v>
      </c>
      <c r="D14" s="20" t="n">
        <f aca="false">IF(B12=0,0,D13/B12)</f>
        <v>0.0685592153139149</v>
      </c>
      <c r="E14" s="20" t="n">
        <f aca="false">IF(C12=0,0,E13/C12)</f>
        <v>0.0174506590513688</v>
      </c>
      <c r="F14" s="20" t="n">
        <f aca="false">IF(B12=0,0,F13/B12)</f>
        <v>0.174269028698579</v>
      </c>
      <c r="G14" s="20" t="n">
        <f aca="false">IF(C12=0,0,G13/C12)</f>
        <v>0.146195667072906</v>
      </c>
      <c r="H14" s="13"/>
    </row>
    <row r="15" customFormat="false" ht="15" hidden="false" customHeight="false" outlineLevel="0" collapsed="false">
      <c r="A15" s="10" t="s">
        <v>103</v>
      </c>
      <c r="B15" s="17" t="n">
        <f aca="false">1800-B12</f>
        <v>-861.6389812</v>
      </c>
      <c r="C15" s="17" t="n">
        <f aca="false">1800-C12</f>
        <v>-295.3707188</v>
      </c>
      <c r="D15" s="17" t="n">
        <f aca="false">1800-D12</f>
        <v>-679.1591012</v>
      </c>
      <c r="E15" s="17" t="n">
        <f aca="false">1800-E12</f>
        <v>-258.8051188</v>
      </c>
      <c r="F15" s="17" t="n">
        <f aca="false">1800-F12</f>
        <v>-397.7977412</v>
      </c>
      <c r="G15" s="17" t="n">
        <f aca="false">1800-G12</f>
        <v>10.9634012000001</v>
      </c>
      <c r="H15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0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104</v>
      </c>
    </row>
    <row r="3" customFormat="false" ht="15" hidden="false" customHeight="false" outlineLevel="0" collapsed="false">
      <c r="A3" s="3" t="s">
        <v>105</v>
      </c>
      <c r="B3" s="3" t="s">
        <v>106</v>
      </c>
      <c r="C3" s="3" t="s">
        <v>107</v>
      </c>
      <c r="D3" s="3" t="s">
        <v>108</v>
      </c>
    </row>
    <row r="4" customFormat="false" ht="15" hidden="false" customHeight="false" outlineLevel="0" collapsed="false">
      <c r="A4" s="10" t="s">
        <v>109</v>
      </c>
      <c r="B4" s="21" t="n">
        <v>1</v>
      </c>
      <c r="C4" s="21" t="n">
        <v>1</v>
      </c>
      <c r="D4" s="12" t="s">
        <v>110</v>
      </c>
    </row>
    <row r="5" customFormat="false" ht="15" hidden="false" customHeight="false" outlineLevel="0" collapsed="false">
      <c r="A5" s="10" t="s">
        <v>111</v>
      </c>
      <c r="B5" s="21" t="n">
        <v>1</v>
      </c>
      <c r="C5" s="21" t="n">
        <v>1</v>
      </c>
      <c r="D5" s="12" t="s">
        <v>112</v>
      </c>
    </row>
    <row r="6" customFormat="false" ht="15" hidden="false" customHeight="false" outlineLevel="0" collapsed="false">
      <c r="A6" s="10" t="s">
        <v>113</v>
      </c>
      <c r="B6" s="21" t="n">
        <v>2</v>
      </c>
      <c r="C6" s="21" t="n">
        <v>2</v>
      </c>
      <c r="D6" s="12" t="s">
        <v>114</v>
      </c>
    </row>
    <row r="7" customFormat="false" ht="15" hidden="false" customHeight="false" outlineLevel="0" collapsed="false">
      <c r="A7" s="10" t="s">
        <v>115</v>
      </c>
      <c r="B7" s="21" t="n">
        <v>3</v>
      </c>
      <c r="C7" s="21" t="n">
        <v>1</v>
      </c>
      <c r="D7" s="12" t="s">
        <v>116</v>
      </c>
    </row>
    <row r="8" customFormat="false" ht="15" hidden="false" customHeight="false" outlineLevel="0" collapsed="false">
      <c r="A8" s="10" t="s">
        <v>117</v>
      </c>
      <c r="B8" s="21" t="n">
        <v>1</v>
      </c>
      <c r="C8" s="21" t="n">
        <v>1</v>
      </c>
      <c r="D8" s="12" t="s">
        <v>118</v>
      </c>
    </row>
    <row r="9" customFormat="false" ht="15" hidden="false" customHeight="false" outlineLevel="0" collapsed="false">
      <c r="A9" s="10" t="s">
        <v>119</v>
      </c>
      <c r="B9" s="21" t="n">
        <v>1</v>
      </c>
      <c r="C9" s="21" t="n">
        <v>1</v>
      </c>
      <c r="D9" s="12" t="s">
        <v>120</v>
      </c>
    </row>
    <row r="10" customFormat="false" ht="15" hidden="false" customHeight="false" outlineLevel="0" collapsed="false">
      <c r="A10" s="10" t="s">
        <v>121</v>
      </c>
      <c r="B10" s="21" t="n">
        <v>1</v>
      </c>
      <c r="C10" s="21" t="n">
        <v>1</v>
      </c>
      <c r="D10" s="12" t="s">
        <v>122</v>
      </c>
    </row>
    <row r="11" customFormat="false" ht="15" hidden="false" customHeight="false" outlineLevel="0" collapsed="false">
      <c r="A11" s="10" t="s">
        <v>123</v>
      </c>
      <c r="B11" s="21" t="n">
        <v>1</v>
      </c>
      <c r="C11" s="21" t="n">
        <v>0</v>
      </c>
      <c r="D11" s="12" t="s">
        <v>124</v>
      </c>
    </row>
    <row r="12" customFormat="false" ht="15" hidden="false" customHeight="false" outlineLevel="0" collapsed="false">
      <c r="A12" s="10" t="s">
        <v>125</v>
      </c>
      <c r="B12" s="21" t="n">
        <v>1</v>
      </c>
      <c r="C12" s="21" t="n">
        <v>0</v>
      </c>
      <c r="D12" s="12" t="s">
        <v>126</v>
      </c>
    </row>
    <row r="13" customFormat="false" ht="15" hidden="false" customHeight="false" outlineLevel="0" collapsed="false">
      <c r="A13" s="10" t="s">
        <v>127</v>
      </c>
      <c r="B13" s="21" t="n">
        <v>1</v>
      </c>
      <c r="C13" s="21" t="n">
        <v>1</v>
      </c>
      <c r="D13" s="12" t="s">
        <v>128</v>
      </c>
    </row>
    <row r="14" customFormat="false" ht="15" hidden="false" customHeight="false" outlineLevel="0" collapsed="false">
      <c r="A14" s="10" t="s">
        <v>129</v>
      </c>
      <c r="B14" s="21" t="n">
        <v>1</v>
      </c>
      <c r="C14" s="21" t="n">
        <v>1</v>
      </c>
      <c r="D14" s="12" t="s">
        <v>130</v>
      </c>
    </row>
    <row r="15" customFormat="false" ht="15" hidden="false" customHeight="false" outlineLevel="0" collapsed="false">
      <c r="A15" s="10" t="s">
        <v>131</v>
      </c>
      <c r="B15" s="21" t="n">
        <v>1</v>
      </c>
      <c r="C15" s="21" t="n">
        <v>1</v>
      </c>
      <c r="D15" s="12" t="s">
        <v>132</v>
      </c>
    </row>
    <row r="16" customFormat="false" ht="15" hidden="false" customHeight="false" outlineLevel="0" collapsed="false">
      <c r="A16" s="10" t="s">
        <v>133</v>
      </c>
      <c r="B16" s="21" t="n">
        <v>2</v>
      </c>
      <c r="C16" s="21" t="n">
        <v>2</v>
      </c>
      <c r="D16" s="12" t="s">
        <v>134</v>
      </c>
    </row>
    <row r="17" customFormat="false" ht="15" hidden="false" customHeight="false" outlineLevel="0" collapsed="false">
      <c r="A17" s="14" t="s">
        <v>135</v>
      </c>
      <c r="B17" s="14" t="n">
        <f aca="false">SUM(B4:B16)</f>
        <v>17</v>
      </c>
      <c r="C17" s="14" t="n">
        <f aca="false">SUM(C4:C16)</f>
        <v>13</v>
      </c>
      <c r="D17" s="13"/>
    </row>
    <row r="18" customFormat="false" ht="23.85" hidden="false" customHeight="false" outlineLevel="0" collapsed="false">
      <c r="A18" s="14" t="s">
        <v>136</v>
      </c>
      <c r="B18" s="21" t="n">
        <v>5</v>
      </c>
      <c r="C18" s="21" t="n">
        <v>1</v>
      </c>
      <c r="D18" s="12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2026-10-30T16:02:55Z</dcterms:created>
  <dc:creator>openpyxl</dc:creator>
  <dc:description/>
  <dc:language>en-US</dc:language>
  <cp:lastModifiedBy/>
  <dcterms:modified xsi:type="dcterms:W3CDTF">2026-10-30T16:02:55Z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